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maldonado/Desktop/"/>
    </mc:Choice>
  </mc:AlternateContent>
  <xr:revisionPtr revIDLastSave="0" documentId="8_{3FF66952-F4B9-1B4E-B9CF-08723AD6FE61}" xr6:coauthVersionLast="47" xr6:coauthVersionMax="47" xr10:uidLastSave="{00000000-0000-0000-0000-000000000000}"/>
  <bookViews>
    <workbookView xWindow="780" yWindow="1000" windowWidth="27640" windowHeight="15600" xr2:uid="{FB1AF23E-9567-474E-9D29-068AFE905A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  <c r="D87" i="1"/>
  <c r="F86" i="1"/>
  <c r="D86" i="1"/>
  <c r="F84" i="1"/>
  <c r="F81" i="1"/>
  <c r="D81" i="1"/>
  <c r="F74" i="1"/>
  <c r="D74" i="1"/>
  <c r="F49" i="1"/>
  <c r="D49" i="1"/>
  <c r="F48" i="1"/>
  <c r="D48" i="1"/>
  <c r="F47" i="1"/>
  <c r="D47" i="1"/>
  <c r="F46" i="1"/>
  <c r="D46" i="1"/>
  <c r="F38" i="1"/>
  <c r="F37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<sst xmlns="http://schemas.openxmlformats.org/spreadsheetml/2006/main" count="161" uniqueCount="156">
  <si>
    <t>PRODUCTOS</t>
  </si>
  <si>
    <t>CLAVE</t>
  </si>
  <si>
    <t>DESCRIPCION</t>
  </si>
  <si>
    <t>PRECIO CJA</t>
  </si>
  <si>
    <t>PRECIO PZ</t>
  </si>
  <si>
    <t>P01</t>
  </si>
  <si>
    <t>Paquete Mesa Elefante 20 Kg.</t>
  </si>
  <si>
    <t>P02</t>
  </si>
  <si>
    <t>Paquete Mesa la Fina 18 Kg.</t>
  </si>
  <si>
    <t>P03</t>
  </si>
  <si>
    <t>Paquete Mesa Klara 20 Kg.</t>
  </si>
  <si>
    <t>P04</t>
  </si>
  <si>
    <t>Paquete Cocina Elefante Grano 20 Kg.</t>
  </si>
  <si>
    <t>P05</t>
  </si>
  <si>
    <t>Paquete Gourmet 750 grs. 25 pzs.</t>
  </si>
  <si>
    <t>P07</t>
  </si>
  <si>
    <t>Charola Salerito Elefante 130 grs. 24 pzs.</t>
  </si>
  <si>
    <t>P08</t>
  </si>
  <si>
    <t>Charola Bote Elefante 1 Kg. 12 pzs.</t>
  </si>
  <si>
    <t>P09</t>
  </si>
  <si>
    <t>Chraola Bote la Fina 1Kg. 12 pzs.</t>
  </si>
  <si>
    <t>P10</t>
  </si>
  <si>
    <t>Charola Salerito la Fina 250 grs. 16 pzs.</t>
  </si>
  <si>
    <t>P11</t>
  </si>
  <si>
    <t>Charola Chile-Limon la Fina 125 grs. 16 pzs.</t>
  </si>
  <si>
    <t>P41</t>
  </si>
  <si>
    <t>Bulto Roche Verde 25 Kg.</t>
  </si>
  <si>
    <t>P46</t>
  </si>
  <si>
    <t>Bulto Refinada la Fina 25 Kg.</t>
  </si>
  <si>
    <t>P48</t>
  </si>
  <si>
    <t>Bulto Refinada Cisne 25 Kg.</t>
  </si>
  <si>
    <t>P51</t>
  </si>
  <si>
    <t>Bulto Roche Azul Cielo 25 Kg.</t>
  </si>
  <si>
    <t>P52</t>
  </si>
  <si>
    <t>Bulto Roche Azul Marino 25 Kg.</t>
  </si>
  <si>
    <t>P58</t>
  </si>
  <si>
    <t>Bulto Roche Rojo 25 Kg.</t>
  </si>
  <si>
    <t>AZ01</t>
  </si>
  <si>
    <t>Paquete Azucar 20 Kg.</t>
  </si>
  <si>
    <t>FL01</t>
  </si>
  <si>
    <t>30 Horas Eco Light  cja/10 Paq. c/10pzs.</t>
  </si>
  <si>
    <t>FL02</t>
  </si>
  <si>
    <t>30 Horas Ecochick cja/48 pzs.</t>
  </si>
  <si>
    <t>FL03</t>
  </si>
  <si>
    <t>Media Semana cja/24 pzs.</t>
  </si>
  <si>
    <t>FL04</t>
  </si>
  <si>
    <t>Semanal cja/12 pzs.</t>
  </si>
  <si>
    <t>FL05</t>
  </si>
  <si>
    <t>Quincenal cja/12 pzs.</t>
  </si>
  <si>
    <t>FL06</t>
  </si>
  <si>
    <t>Jumbo 1 grande cja/6 pzs.</t>
  </si>
  <si>
    <t>FL07</t>
  </si>
  <si>
    <t>Jumbo 2 mediano cja/6 pzs.</t>
  </si>
  <si>
    <t>FL08</t>
  </si>
  <si>
    <t>Jumbo 3 chico cja/12 pzs.</t>
  </si>
  <si>
    <t>FL09</t>
  </si>
  <si>
    <t>Votivo Cruz cja/48 pzs.</t>
  </si>
  <si>
    <t>FL10</t>
  </si>
  <si>
    <t>Limonero Mega cja/20 pzs.</t>
  </si>
  <si>
    <t>FL11</t>
  </si>
  <si>
    <t>Vela Farolito cja/10 Paq. c/16 pzs.</t>
  </si>
  <si>
    <t>FL12</t>
  </si>
  <si>
    <t>Refaccion No 5 Papel cja/40 pzs.</t>
  </si>
  <si>
    <t>FL13</t>
  </si>
  <si>
    <t>Refaccion No 2 Envuelto cja/10 Paq. c/10 pzs.</t>
  </si>
  <si>
    <t>FL14</t>
  </si>
  <si>
    <t>Veladora No. 8 Aluminio cja/100 pzs.</t>
  </si>
  <si>
    <t>FL15</t>
  </si>
  <si>
    <t>Veladora No. 8 Papel cja/100 pzs.</t>
  </si>
  <si>
    <t>FL16</t>
  </si>
  <si>
    <t>Cafetero Diamante cja/20 pzs.</t>
  </si>
  <si>
    <t>FL17</t>
  </si>
  <si>
    <t>Cubero Diamante cja/20 pzs.</t>
  </si>
  <si>
    <t>FL18</t>
  </si>
  <si>
    <t>Limonero Azucena cja/20 pzs.</t>
  </si>
  <si>
    <t>FL19</t>
  </si>
  <si>
    <t>Libra Aqua cja/20 pzs.</t>
  </si>
  <si>
    <t>FL20</t>
  </si>
  <si>
    <t>Copa Roma cja/12 pzs.</t>
  </si>
  <si>
    <t>FL21</t>
  </si>
  <si>
    <t>Aramo Mini Vaso Muertos cja/20 pzs.</t>
  </si>
  <si>
    <t>FL22</t>
  </si>
  <si>
    <t>Aramo Cafetero Muertos cja/20 pzs.</t>
  </si>
  <si>
    <t>FL23</t>
  </si>
  <si>
    <t>Aramo Cubero Muertos cja/20 pzs.</t>
  </si>
  <si>
    <t>VRM01</t>
  </si>
  <si>
    <t>Vela de Parafina Paq c/4 pzs. 4X35 cm</t>
  </si>
  <si>
    <t>VRM02</t>
  </si>
  <si>
    <t>Cera de Parafina 4X50 cm</t>
  </si>
  <si>
    <t>VRM03</t>
  </si>
  <si>
    <t>Cera de Cera 4 X50 cm</t>
  </si>
  <si>
    <t>VRM04</t>
  </si>
  <si>
    <t>Mini Cirio Dif/Diseño en Cera 5X10 cm.</t>
  </si>
  <si>
    <t>VRM05</t>
  </si>
  <si>
    <t>Pan de Muerto Chico 5X8 cm</t>
  </si>
  <si>
    <t>VRM06</t>
  </si>
  <si>
    <t>Pan de Muerto Grande 6X14 cm</t>
  </si>
  <si>
    <t>VRM07</t>
  </si>
  <si>
    <t>Calaverita Prehispanica 8 cm diametro</t>
  </si>
  <si>
    <t>VRM08</t>
  </si>
  <si>
    <t>Buho Prehispanico 9X5 cm</t>
  </si>
  <si>
    <t>VRM09</t>
  </si>
  <si>
    <t>Buho Animado 11X8 cm</t>
  </si>
  <si>
    <t>VRM10</t>
  </si>
  <si>
    <t>Gatito Prehispanico 8X8X8 cm</t>
  </si>
  <si>
    <t>VRM11</t>
  </si>
  <si>
    <t>Perrito Prehispanico 14X6X5 cm</t>
  </si>
  <si>
    <t>VRM12</t>
  </si>
  <si>
    <t>Catrinas 15X6X4 cm</t>
  </si>
  <si>
    <t>VRM13</t>
  </si>
  <si>
    <t>Vampiro o Draculas</t>
  </si>
  <si>
    <t>Momia</t>
  </si>
  <si>
    <t>Bruja</t>
  </si>
  <si>
    <t>Frankestein</t>
  </si>
  <si>
    <t>Esqueleto</t>
  </si>
  <si>
    <t>Calabaza</t>
  </si>
  <si>
    <t>VRM14</t>
  </si>
  <si>
    <t>Cempasuchil 4X8 cm.</t>
  </si>
  <si>
    <t>LYU01</t>
  </si>
  <si>
    <t>Crema para Batir 500 ml.</t>
  </si>
  <si>
    <t>LYU02</t>
  </si>
  <si>
    <t>Crema para Batir 980 ml.</t>
  </si>
  <si>
    <t>LYU03</t>
  </si>
  <si>
    <t>Crema Batida Spray 184 grs.</t>
  </si>
  <si>
    <t>LYU04</t>
  </si>
  <si>
    <t>Crema para Batir Galon Especial 3.785 l.</t>
  </si>
  <si>
    <t>LYU05</t>
  </si>
  <si>
    <t>Crema Natural 400 grs.</t>
  </si>
  <si>
    <t>LYU06</t>
  </si>
  <si>
    <t>Cremeros cja/100 pzs.</t>
  </si>
  <si>
    <t>LYU07</t>
  </si>
  <si>
    <t>Queso Cottage 110 grs.</t>
  </si>
  <si>
    <t>LYU08</t>
  </si>
  <si>
    <t>Queso Cottage 380 grs.</t>
  </si>
  <si>
    <t>LYU09</t>
  </si>
  <si>
    <t>Queso Cottage 960 grs.</t>
  </si>
  <si>
    <t>LYU10</t>
  </si>
  <si>
    <t>Queso Cottage Cubeta 5 Kg.</t>
  </si>
  <si>
    <t>LYU11</t>
  </si>
  <si>
    <t>Queso Manchego 400 grs.</t>
  </si>
  <si>
    <t>LYU12</t>
  </si>
  <si>
    <t>Quesuave (Nachos) 500 grs.</t>
  </si>
  <si>
    <t>LYU13</t>
  </si>
  <si>
    <t>Quesuave Rebanada 198 grs. Paq. c/11</t>
  </si>
  <si>
    <t>LYU14</t>
  </si>
  <si>
    <t>Yoghurt 160 grs.</t>
  </si>
  <si>
    <t>LYU15</t>
  </si>
  <si>
    <t xml:space="preserve">Yoghurt  960 grs.. </t>
  </si>
  <si>
    <t>LYU16</t>
  </si>
  <si>
    <t>Yoghurt Cubeta 5 Kg.</t>
  </si>
  <si>
    <t>LYU17</t>
  </si>
  <si>
    <t>Queso de Cabra Natural 200 grs.</t>
  </si>
  <si>
    <t>LYU18</t>
  </si>
  <si>
    <t xml:space="preserve">Leche Entera </t>
  </si>
  <si>
    <t>LYU19</t>
  </si>
  <si>
    <t>Leche Deslactosada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</si>
</sst>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44" fontId="5" fillId="0" borderId="2" xfId="1" applyFont="1" applyBorder="1"/>
    <xf numFmtId="44" fontId="5" fillId="0" borderId="3" xfId="1" applyFont="1" applyBorder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2" xfId="0" applyFont="1" applyFill="1" applyBorder="1"/>
    <xf numFmtId="44" fontId="5" fillId="3" borderId="2" xfId="1" applyFont="1" applyFill="1" applyBorder="1"/>
    <xf numFmtId="44" fontId="5" fillId="3" borderId="3" xfId="1" applyFont="1" applyFill="1" applyBorder="1"/>
    <xf numFmtId="0" fontId="6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44" fontId="4" fillId="4" borderId="1" xfId="1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44" fontId="4" fillId="5" borderId="1" xfId="1" applyFont="1" applyFill="1" applyBorder="1"/>
    <xf numFmtId="44" fontId="5" fillId="5" borderId="2" xfId="1" applyFont="1" applyFill="1" applyBorder="1"/>
    <xf numFmtId="44" fontId="5" fillId="5" borderId="3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CABB-7F86-874C-A41E-EE7C2FF23063}">
  <dimension ref="A1:F87"/>
  <sheetViews>
    <sheetView tabSelected="1" workbookViewId="0">
      <selection activeCell="A2" sqref="A2:F3"/>
    </sheetView>
  </sheetViews>
  <sheetFormatPr baseColWidth="10" defaultRowHeight="16" x14ac:dyDescent="0.2"/>
  <sheetData>
    <row r="1" spans="1:6" ht="23" x14ac:dyDescent="0.25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2" t="s">
        <v>2</v>
      </c>
      <c r="C2" s="2"/>
      <c r="D2" s="2"/>
      <c r="E2" s="2" t="s">
        <v>3</v>
      </c>
      <c r="F2" s="2" t="s">
        <v>4</v>
      </c>
    </row>
    <row r="3" spans="1:6" x14ac:dyDescent="0.2">
      <c r="A3" s="3" t="s">
        <v>5</v>
      </c>
      <c r="B3" s="4" t="s">
        <v>6</v>
      </c>
      <c r="C3" s="5"/>
      <c r="D3" s="5"/>
      <c r="E3" s="6">
        <v>305</v>
      </c>
      <c r="F3" s="7">
        <f>E3/20</f>
        <v>15.25</v>
      </c>
    </row>
    <row r="4" spans="1:6" x14ac:dyDescent="0.2">
      <c r="A4" s="3" t="s">
        <v>7</v>
      </c>
      <c r="B4" s="4" t="s">
        <v>8</v>
      </c>
      <c r="C4" s="5"/>
      <c r="D4" s="5"/>
      <c r="E4" s="6">
        <v>305</v>
      </c>
      <c r="F4" s="7">
        <f>E4/18</f>
        <v>16.944444444444443</v>
      </c>
    </row>
    <row r="5" spans="1:6" x14ac:dyDescent="0.2">
      <c r="A5" s="3" t="s">
        <v>9</v>
      </c>
      <c r="B5" s="4" t="s">
        <v>10</v>
      </c>
      <c r="C5" s="5"/>
      <c r="D5" s="5"/>
      <c r="E5" s="6">
        <v>302</v>
      </c>
      <c r="F5" s="7">
        <f>E5/20</f>
        <v>15.1</v>
      </c>
    </row>
    <row r="6" spans="1:6" x14ac:dyDescent="0.2">
      <c r="A6" s="3" t="s">
        <v>11</v>
      </c>
      <c r="B6" s="4" t="s">
        <v>12</v>
      </c>
      <c r="C6" s="5"/>
      <c r="D6" s="5"/>
      <c r="E6" s="6">
        <v>285</v>
      </c>
      <c r="F6" s="7">
        <f>E6/20</f>
        <v>14.25</v>
      </c>
    </row>
    <row r="7" spans="1:6" ht="39" x14ac:dyDescent="0.2">
      <c r="A7" s="3" t="s">
        <v>13</v>
      </c>
      <c r="B7" s="8" t="s">
        <v>14</v>
      </c>
      <c r="C7" s="9"/>
      <c r="D7" s="9"/>
      <c r="E7" s="6">
        <v>1000</v>
      </c>
      <c r="F7" s="7">
        <f>E7/25</f>
        <v>40</v>
      </c>
    </row>
    <row r="8" spans="1:6" x14ac:dyDescent="0.2">
      <c r="A8" s="3" t="s">
        <v>15</v>
      </c>
      <c r="B8" s="4" t="s">
        <v>16</v>
      </c>
      <c r="C8" s="5"/>
      <c r="D8" s="5"/>
      <c r="E8" s="6">
        <v>210</v>
      </c>
      <c r="F8" s="7">
        <f>E8/24</f>
        <v>8.75</v>
      </c>
    </row>
    <row r="9" spans="1:6" x14ac:dyDescent="0.2">
      <c r="A9" s="3" t="s">
        <v>17</v>
      </c>
      <c r="B9" s="4" t="s">
        <v>18</v>
      </c>
      <c r="C9" s="5"/>
      <c r="D9" s="5"/>
      <c r="E9" s="6">
        <v>260</v>
      </c>
      <c r="F9" s="7">
        <f>E9/12</f>
        <v>21.666666666666668</v>
      </c>
    </row>
    <row r="10" spans="1:6" x14ac:dyDescent="0.2">
      <c r="A10" s="3" t="s">
        <v>19</v>
      </c>
      <c r="B10" s="4" t="s">
        <v>20</v>
      </c>
      <c r="C10" s="5"/>
      <c r="D10" s="5"/>
      <c r="E10" s="6">
        <v>270</v>
      </c>
      <c r="F10" s="7">
        <f>E10/12</f>
        <v>22.5</v>
      </c>
    </row>
    <row r="11" spans="1:6" x14ac:dyDescent="0.2">
      <c r="A11" s="3" t="s">
        <v>21</v>
      </c>
      <c r="B11" s="4" t="s">
        <v>22</v>
      </c>
      <c r="C11" s="5"/>
      <c r="D11" s="5"/>
      <c r="E11" s="6">
        <v>250</v>
      </c>
      <c r="F11" s="7">
        <f>E11/16</f>
        <v>15.625</v>
      </c>
    </row>
    <row r="12" spans="1:6" x14ac:dyDescent="0.2">
      <c r="A12" s="3" t="s">
        <v>23</v>
      </c>
      <c r="B12" s="4" t="s">
        <v>24</v>
      </c>
      <c r="C12" s="5"/>
      <c r="D12" s="5"/>
      <c r="E12" s="6">
        <v>416</v>
      </c>
      <c r="F12" s="7">
        <f>E12/16</f>
        <v>26</v>
      </c>
    </row>
    <row r="13" spans="1:6" x14ac:dyDescent="0.2">
      <c r="A13" s="3" t="s">
        <v>25</v>
      </c>
      <c r="B13" s="4" t="s">
        <v>26</v>
      </c>
      <c r="C13" s="5"/>
      <c r="D13" s="5"/>
      <c r="E13" s="6">
        <v>215</v>
      </c>
      <c r="F13" s="7">
        <f>E13/25</f>
        <v>8.6</v>
      </c>
    </row>
    <row r="14" spans="1:6" x14ac:dyDescent="0.2">
      <c r="A14" s="3" t="s">
        <v>27</v>
      </c>
      <c r="B14" s="4" t="s">
        <v>28</v>
      </c>
      <c r="C14" s="5"/>
      <c r="D14" s="5"/>
      <c r="E14" s="6">
        <v>235</v>
      </c>
      <c r="F14" s="7">
        <f>E14/25</f>
        <v>9.4</v>
      </c>
    </row>
    <row r="15" spans="1:6" x14ac:dyDescent="0.2">
      <c r="A15" s="3" t="s">
        <v>29</v>
      </c>
      <c r="B15" s="4" t="s">
        <v>30</v>
      </c>
      <c r="C15" s="5"/>
      <c r="D15" s="5"/>
      <c r="E15" s="6">
        <v>200</v>
      </c>
      <c r="F15" s="7">
        <f>E15/25</f>
        <v>8</v>
      </c>
    </row>
    <row r="16" spans="1:6" x14ac:dyDescent="0.2">
      <c r="A16" s="3" t="s">
        <v>31</v>
      </c>
      <c r="B16" s="4" t="s">
        <v>32</v>
      </c>
      <c r="C16" s="5"/>
      <c r="D16" s="5"/>
      <c r="E16" s="6"/>
      <c r="F16" s="7"/>
    </row>
    <row r="17" spans="1:6" x14ac:dyDescent="0.2">
      <c r="A17" s="3" t="s">
        <v>33</v>
      </c>
      <c r="B17" s="4" t="s">
        <v>34</v>
      </c>
      <c r="C17" s="5"/>
      <c r="D17" s="5"/>
      <c r="E17" s="6">
        <v>220</v>
      </c>
      <c r="F17" s="7">
        <f>E17/25</f>
        <v>8.8000000000000007</v>
      </c>
    </row>
    <row r="18" spans="1:6" x14ac:dyDescent="0.2">
      <c r="A18" s="3" t="s">
        <v>35</v>
      </c>
      <c r="B18" s="4" t="s">
        <v>36</v>
      </c>
      <c r="C18" s="5"/>
      <c r="D18" s="5"/>
      <c r="E18" s="6">
        <v>200</v>
      </c>
      <c r="F18" s="7">
        <f>E18/25</f>
        <v>8</v>
      </c>
    </row>
    <row r="19" spans="1:6" x14ac:dyDescent="0.2">
      <c r="A19" s="3" t="s">
        <v>37</v>
      </c>
      <c r="B19" s="4" t="s">
        <v>38</v>
      </c>
      <c r="C19" s="5"/>
      <c r="D19" s="5"/>
      <c r="E19" s="6">
        <v>410</v>
      </c>
      <c r="F19" s="7">
        <f>E19/20</f>
        <v>20.5</v>
      </c>
    </row>
    <row r="20" spans="1:6" x14ac:dyDescent="0.2">
      <c r="A20" s="10" t="s">
        <v>39</v>
      </c>
      <c r="B20" s="11" t="s">
        <v>40</v>
      </c>
      <c r="C20" s="12"/>
      <c r="D20" s="12"/>
      <c r="E20" s="13">
        <v>766</v>
      </c>
      <c r="F20" s="14">
        <f>E20/100</f>
        <v>7.66</v>
      </c>
    </row>
    <row r="21" spans="1:6" x14ac:dyDescent="0.2">
      <c r="A21" s="10" t="s">
        <v>41</v>
      </c>
      <c r="B21" s="11" t="s">
        <v>42</v>
      </c>
      <c r="C21" s="12"/>
      <c r="D21" s="12"/>
      <c r="E21" s="13">
        <v>420</v>
      </c>
      <c r="F21" s="14">
        <f>E21/48</f>
        <v>8.75</v>
      </c>
    </row>
    <row r="22" spans="1:6" x14ac:dyDescent="0.2">
      <c r="A22" s="10" t="s">
        <v>43</v>
      </c>
      <c r="B22" s="11" t="s">
        <v>44</v>
      </c>
      <c r="C22" s="12"/>
      <c r="D22" s="12"/>
      <c r="E22" s="13">
        <v>380</v>
      </c>
      <c r="F22" s="14">
        <f>E22/24</f>
        <v>15.833333333333334</v>
      </c>
    </row>
    <row r="23" spans="1:6" x14ac:dyDescent="0.2">
      <c r="A23" s="10" t="s">
        <v>45</v>
      </c>
      <c r="B23" s="11" t="s">
        <v>46</v>
      </c>
      <c r="C23" s="12"/>
      <c r="D23" s="12"/>
      <c r="E23" s="13">
        <v>335</v>
      </c>
      <c r="F23" s="14">
        <f>E23/12</f>
        <v>27.916666666666668</v>
      </c>
    </row>
    <row r="24" spans="1:6" x14ac:dyDescent="0.2">
      <c r="A24" s="10" t="s">
        <v>47</v>
      </c>
      <c r="B24" s="11" t="s">
        <v>48</v>
      </c>
      <c r="C24" s="12"/>
      <c r="D24" s="12"/>
      <c r="E24" s="13">
        <v>588</v>
      </c>
      <c r="F24" s="14">
        <f>E24/12</f>
        <v>49</v>
      </c>
    </row>
    <row r="25" spans="1:6" x14ac:dyDescent="0.2">
      <c r="A25" s="10" t="s">
        <v>49</v>
      </c>
      <c r="B25" s="11" t="s">
        <v>50</v>
      </c>
      <c r="C25" s="12"/>
      <c r="D25" s="12"/>
      <c r="E25" s="13">
        <v>520</v>
      </c>
      <c r="F25" s="14">
        <f>E25/6</f>
        <v>86.666666666666671</v>
      </c>
    </row>
    <row r="26" spans="1:6" x14ac:dyDescent="0.2">
      <c r="A26" s="10" t="s">
        <v>51</v>
      </c>
      <c r="B26" s="11" t="s">
        <v>52</v>
      </c>
      <c r="C26" s="12"/>
      <c r="D26" s="12"/>
      <c r="E26" s="13">
        <v>357</v>
      </c>
      <c r="F26" s="14">
        <f>E26/6</f>
        <v>59.5</v>
      </c>
    </row>
    <row r="27" spans="1:6" x14ac:dyDescent="0.2">
      <c r="A27" s="10" t="s">
        <v>53</v>
      </c>
      <c r="B27" s="11" t="s">
        <v>54</v>
      </c>
      <c r="C27" s="12"/>
      <c r="D27" s="12"/>
      <c r="E27" s="13">
        <v>415</v>
      </c>
      <c r="F27" s="14">
        <f>E27/12</f>
        <v>34.583333333333336</v>
      </c>
    </row>
    <row r="28" spans="1:6" x14ac:dyDescent="0.2">
      <c r="A28" s="10" t="s">
        <v>55</v>
      </c>
      <c r="B28" s="11" t="s">
        <v>56</v>
      </c>
      <c r="C28" s="12"/>
      <c r="D28" s="12"/>
      <c r="E28" s="13">
        <v>370</v>
      </c>
      <c r="F28" s="14">
        <f>E28/48</f>
        <v>7.708333333333333</v>
      </c>
    </row>
    <row r="29" spans="1:6" x14ac:dyDescent="0.2">
      <c r="A29" s="10" t="s">
        <v>57</v>
      </c>
      <c r="B29" s="11" t="s">
        <v>58</v>
      </c>
      <c r="C29" s="12"/>
      <c r="D29" s="12"/>
      <c r="E29" s="13">
        <v>232</v>
      </c>
      <c r="F29" s="14">
        <f>E29/20</f>
        <v>11.6</v>
      </c>
    </row>
    <row r="30" spans="1:6" x14ac:dyDescent="0.2">
      <c r="A30" s="10" t="s">
        <v>59</v>
      </c>
      <c r="B30" s="11" t="s">
        <v>60</v>
      </c>
      <c r="C30" s="12"/>
      <c r="D30" s="12"/>
      <c r="E30" s="13">
        <v>515</v>
      </c>
      <c r="F30" s="14">
        <f>E30/160</f>
        <v>3.21875</v>
      </c>
    </row>
    <row r="31" spans="1:6" x14ac:dyDescent="0.2">
      <c r="A31" s="10" t="s">
        <v>61</v>
      </c>
      <c r="B31" s="11" t="s">
        <v>62</v>
      </c>
      <c r="C31" s="12"/>
      <c r="D31" s="12"/>
      <c r="E31" s="13">
        <v>601</v>
      </c>
      <c r="F31" s="14">
        <f>E31/40</f>
        <v>15.025</v>
      </c>
    </row>
    <row r="32" spans="1:6" x14ac:dyDescent="0.2">
      <c r="A32" s="10" t="s">
        <v>63</v>
      </c>
      <c r="B32" s="11" t="s">
        <v>64</v>
      </c>
      <c r="C32" s="12"/>
      <c r="D32" s="12"/>
      <c r="E32" s="13">
        <v>801</v>
      </c>
      <c r="F32" s="14">
        <f>E32/100</f>
        <v>8.01</v>
      </c>
    </row>
    <row r="33" spans="1:6" x14ac:dyDescent="0.2">
      <c r="A33" s="10" t="s">
        <v>65</v>
      </c>
      <c r="B33" s="11" t="s">
        <v>66</v>
      </c>
      <c r="C33" s="12"/>
      <c r="D33" s="12"/>
      <c r="E33" s="13">
        <v>433</v>
      </c>
      <c r="F33" s="14">
        <f>E33/100</f>
        <v>4.33</v>
      </c>
    </row>
    <row r="34" spans="1:6" x14ac:dyDescent="0.2">
      <c r="A34" s="10" t="s">
        <v>67</v>
      </c>
      <c r="B34" s="11" t="s">
        <v>68</v>
      </c>
      <c r="C34" s="12"/>
      <c r="D34" s="12"/>
      <c r="E34" s="13">
        <v>413</v>
      </c>
      <c r="F34" s="14">
        <v>4.13</v>
      </c>
    </row>
    <row r="35" spans="1:6" x14ac:dyDescent="0.2">
      <c r="A35" s="10" t="s">
        <v>69</v>
      </c>
      <c r="B35" s="11" t="s">
        <v>70</v>
      </c>
      <c r="C35" s="12"/>
      <c r="D35" s="12"/>
      <c r="E35" s="13">
        <v>330</v>
      </c>
      <c r="F35" s="14">
        <v>16.5</v>
      </c>
    </row>
    <row r="36" spans="1:6" x14ac:dyDescent="0.2">
      <c r="A36" s="10" t="s">
        <v>71</v>
      </c>
      <c r="B36" s="11" t="s">
        <v>72</v>
      </c>
      <c r="C36" s="12"/>
      <c r="D36" s="12"/>
      <c r="E36" s="13">
        <v>375</v>
      </c>
      <c r="F36" s="14">
        <v>18.75</v>
      </c>
    </row>
    <row r="37" spans="1:6" x14ac:dyDescent="0.2">
      <c r="A37" s="10" t="s">
        <v>73</v>
      </c>
      <c r="B37" s="11" t="s">
        <v>74</v>
      </c>
      <c r="C37" s="12"/>
      <c r="D37" s="12"/>
      <c r="E37" s="13">
        <v>340</v>
      </c>
      <c r="F37" s="14">
        <f>E37/20</f>
        <v>17</v>
      </c>
    </row>
    <row r="38" spans="1:6" x14ac:dyDescent="0.2">
      <c r="A38" s="10" t="s">
        <v>75</v>
      </c>
      <c r="B38" s="11" t="s">
        <v>76</v>
      </c>
      <c r="C38" s="12"/>
      <c r="D38" s="12"/>
      <c r="E38" s="13">
        <v>435</v>
      </c>
      <c r="F38" s="14">
        <f>E38/20</f>
        <v>21.75</v>
      </c>
    </row>
    <row r="39" spans="1:6" x14ac:dyDescent="0.2">
      <c r="A39" s="15"/>
      <c r="B39" s="15"/>
      <c r="C39" s="15"/>
      <c r="D39" s="15"/>
      <c r="E39" s="15"/>
      <c r="F39" s="15"/>
    </row>
    <row r="40" spans="1:6" x14ac:dyDescent="0.2">
      <c r="A40" s="15"/>
      <c r="B40" s="15"/>
      <c r="C40" s="15"/>
      <c r="D40" s="15"/>
      <c r="E40" s="15"/>
      <c r="F40" s="15"/>
    </row>
    <row r="41" spans="1:6" x14ac:dyDescent="0.2">
      <c r="A41" s="15"/>
      <c r="B41" s="15"/>
      <c r="C41" s="15"/>
      <c r="D41" s="15"/>
      <c r="E41" s="15"/>
      <c r="F41" s="15"/>
    </row>
    <row r="42" spans="1:6" x14ac:dyDescent="0.2">
      <c r="A42" s="15"/>
      <c r="B42" s="15"/>
      <c r="C42" s="15"/>
      <c r="D42" s="15"/>
      <c r="E42" s="15"/>
      <c r="F42" s="15"/>
    </row>
    <row r="43" spans="1:6" x14ac:dyDescent="0.2">
      <c r="A43" s="15"/>
      <c r="B43" s="15"/>
      <c r="C43" s="15"/>
      <c r="D43" s="15"/>
      <c r="E43" s="15"/>
      <c r="F43" s="15"/>
    </row>
    <row r="44" spans="1:6" x14ac:dyDescent="0.2">
      <c r="A44" s="15"/>
      <c r="B44" s="15"/>
      <c r="C44" s="15"/>
      <c r="D44" s="15"/>
      <c r="E44" s="15"/>
      <c r="F44" s="15"/>
    </row>
    <row r="45" spans="1:6" x14ac:dyDescent="0.2">
      <c r="A45" s="15"/>
      <c r="B45" s="15"/>
      <c r="C45" s="15"/>
      <c r="D45" s="15"/>
      <c r="E45" s="15"/>
      <c r="F45" s="15"/>
    </row>
    <row r="46" spans="1:6" x14ac:dyDescent="0.2">
      <c r="A46" s="16" t="s">
        <v>77</v>
      </c>
      <c r="B46" s="17" t="s">
        <v>78</v>
      </c>
      <c r="C46" s="18">
        <v>208</v>
      </c>
      <c r="D46" s="18">
        <f>C46/12</f>
        <v>17.333333333333332</v>
      </c>
      <c r="E46" s="18">
        <v>227</v>
      </c>
      <c r="F46" s="18">
        <f>E46/12</f>
        <v>18.916666666666668</v>
      </c>
    </row>
    <row r="47" spans="1:6" x14ac:dyDescent="0.2">
      <c r="A47" s="16" t="s">
        <v>79</v>
      </c>
      <c r="B47" s="17" t="s">
        <v>80</v>
      </c>
      <c r="C47" s="18">
        <v>205</v>
      </c>
      <c r="D47" s="18">
        <f>C47/20</f>
        <v>10.25</v>
      </c>
      <c r="E47" s="18">
        <v>226</v>
      </c>
      <c r="F47" s="18">
        <f>E47/20</f>
        <v>11.3</v>
      </c>
    </row>
    <row r="48" spans="1:6" x14ac:dyDescent="0.2">
      <c r="A48" s="16" t="s">
        <v>81</v>
      </c>
      <c r="B48" s="17" t="s">
        <v>82</v>
      </c>
      <c r="C48" s="18">
        <v>334</v>
      </c>
      <c r="D48" s="18">
        <f>C48/20</f>
        <v>16.7</v>
      </c>
      <c r="E48" s="18">
        <v>355</v>
      </c>
      <c r="F48" s="18">
        <f>E48/20</f>
        <v>17.75</v>
      </c>
    </row>
    <row r="49" spans="1:6" x14ac:dyDescent="0.2">
      <c r="A49" s="16" t="s">
        <v>83</v>
      </c>
      <c r="B49" s="17" t="s">
        <v>84</v>
      </c>
      <c r="C49" s="18">
        <v>334</v>
      </c>
      <c r="D49" s="18">
        <f>C49/20</f>
        <v>16.7</v>
      </c>
      <c r="E49" s="18">
        <v>355</v>
      </c>
      <c r="F49" s="18">
        <f>E49/20</f>
        <v>17.75</v>
      </c>
    </row>
    <row r="50" spans="1:6" x14ac:dyDescent="0.2">
      <c r="A50" s="16" t="s">
        <v>85</v>
      </c>
      <c r="B50" s="17" t="s">
        <v>86</v>
      </c>
      <c r="C50" s="18">
        <v>120</v>
      </c>
      <c r="D50" s="18"/>
      <c r="E50" s="18"/>
      <c r="F50" s="18">
        <v>160</v>
      </c>
    </row>
    <row r="51" spans="1:6" x14ac:dyDescent="0.2">
      <c r="A51" s="16" t="s">
        <v>87</v>
      </c>
      <c r="B51" s="17" t="s">
        <v>88</v>
      </c>
      <c r="C51" s="18"/>
      <c r="D51" s="18">
        <v>47</v>
      </c>
      <c r="E51" s="18"/>
      <c r="F51" s="18">
        <v>55</v>
      </c>
    </row>
    <row r="52" spans="1:6" x14ac:dyDescent="0.2">
      <c r="A52" s="16" t="s">
        <v>89</v>
      </c>
      <c r="B52" s="17" t="s">
        <v>90</v>
      </c>
      <c r="C52" s="18"/>
      <c r="D52" s="18">
        <v>47</v>
      </c>
      <c r="E52" s="18"/>
      <c r="F52" s="18">
        <v>60</v>
      </c>
    </row>
    <row r="53" spans="1:6" x14ac:dyDescent="0.2">
      <c r="A53" s="16" t="s">
        <v>91</v>
      </c>
      <c r="B53" s="17" t="s">
        <v>92</v>
      </c>
      <c r="C53" s="18"/>
      <c r="D53" s="18">
        <v>42</v>
      </c>
      <c r="E53" s="18"/>
      <c r="F53" s="18">
        <v>50</v>
      </c>
    </row>
    <row r="54" spans="1:6" x14ac:dyDescent="0.2">
      <c r="A54" s="16" t="s">
        <v>93</v>
      </c>
      <c r="B54" s="17" t="s">
        <v>94</v>
      </c>
      <c r="C54" s="18"/>
      <c r="D54" s="18">
        <v>40</v>
      </c>
      <c r="E54" s="18"/>
      <c r="F54" s="18">
        <v>47</v>
      </c>
    </row>
    <row r="55" spans="1:6" x14ac:dyDescent="0.2">
      <c r="A55" s="16" t="s">
        <v>95</v>
      </c>
      <c r="B55" s="17" t="s">
        <v>96</v>
      </c>
      <c r="C55" s="18"/>
      <c r="D55" s="18">
        <v>50</v>
      </c>
      <c r="E55" s="18"/>
      <c r="F55" s="18">
        <v>57</v>
      </c>
    </row>
    <row r="56" spans="1:6" x14ac:dyDescent="0.2">
      <c r="A56" s="16" t="s">
        <v>97</v>
      </c>
      <c r="B56" s="17" t="s">
        <v>98</v>
      </c>
      <c r="C56" s="18"/>
      <c r="D56" s="18">
        <v>65</v>
      </c>
      <c r="E56" s="18"/>
      <c r="F56" s="18">
        <v>72</v>
      </c>
    </row>
    <row r="57" spans="1:6" x14ac:dyDescent="0.2">
      <c r="A57" s="16" t="s">
        <v>99</v>
      </c>
      <c r="B57" s="17" t="s">
        <v>100</v>
      </c>
      <c r="C57" s="18"/>
      <c r="D57" s="18">
        <v>35</v>
      </c>
      <c r="E57" s="18"/>
      <c r="F57" s="18">
        <v>40</v>
      </c>
    </row>
    <row r="58" spans="1:6" x14ac:dyDescent="0.2">
      <c r="A58" s="16" t="s">
        <v>101</v>
      </c>
      <c r="B58" s="17" t="s">
        <v>102</v>
      </c>
      <c r="C58" s="18"/>
      <c r="D58" s="18">
        <v>45</v>
      </c>
      <c r="E58" s="18"/>
      <c r="F58" s="18">
        <v>52</v>
      </c>
    </row>
    <row r="59" spans="1:6" x14ac:dyDescent="0.2">
      <c r="A59" s="16" t="s">
        <v>103</v>
      </c>
      <c r="B59" s="17" t="s">
        <v>104</v>
      </c>
      <c r="C59" s="18"/>
      <c r="D59" s="18">
        <v>62</v>
      </c>
      <c r="E59" s="18"/>
      <c r="F59" s="18">
        <v>70</v>
      </c>
    </row>
    <row r="60" spans="1:6" x14ac:dyDescent="0.2">
      <c r="A60" s="16" t="s">
        <v>105</v>
      </c>
      <c r="B60" s="17" t="s">
        <v>106</v>
      </c>
      <c r="C60" s="18"/>
      <c r="D60" s="18">
        <v>62</v>
      </c>
      <c r="E60" s="18"/>
      <c r="F60" s="18">
        <v>70</v>
      </c>
    </row>
    <row r="61" spans="1:6" x14ac:dyDescent="0.2">
      <c r="A61" s="16" t="s">
        <v>107</v>
      </c>
      <c r="B61" s="17" t="s">
        <v>108</v>
      </c>
      <c r="C61" s="18"/>
      <c r="D61" s="18">
        <v>55</v>
      </c>
      <c r="E61" s="18"/>
      <c r="F61" s="18">
        <v>65</v>
      </c>
    </row>
    <row r="62" spans="1:6" x14ac:dyDescent="0.2">
      <c r="A62" s="16" t="s">
        <v>109</v>
      </c>
      <c r="B62" s="17" t="s">
        <v>110</v>
      </c>
      <c r="C62" s="18"/>
      <c r="D62" s="18">
        <v>35</v>
      </c>
      <c r="E62" s="18"/>
      <c r="F62" s="18">
        <v>42</v>
      </c>
    </row>
    <row r="63" spans="1:6" x14ac:dyDescent="0.2">
      <c r="A63" s="16" t="s">
        <v>109</v>
      </c>
      <c r="B63" s="17" t="s">
        <v>111</v>
      </c>
      <c r="C63" s="18"/>
      <c r="D63" s="18">
        <v>35</v>
      </c>
      <c r="E63" s="18"/>
      <c r="F63" s="18">
        <v>42</v>
      </c>
    </row>
    <row r="64" spans="1:6" x14ac:dyDescent="0.2">
      <c r="A64" s="16" t="s">
        <v>109</v>
      </c>
      <c r="B64" s="17" t="s">
        <v>112</v>
      </c>
      <c r="C64" s="18"/>
      <c r="D64" s="18">
        <v>35</v>
      </c>
      <c r="E64" s="18"/>
      <c r="F64" s="18">
        <v>42</v>
      </c>
    </row>
    <row r="65" spans="1:6" x14ac:dyDescent="0.2">
      <c r="A65" s="16" t="s">
        <v>109</v>
      </c>
      <c r="B65" s="17" t="s">
        <v>113</v>
      </c>
      <c r="C65" s="18"/>
      <c r="D65" s="18">
        <v>35</v>
      </c>
      <c r="E65" s="18"/>
      <c r="F65" s="18">
        <v>42</v>
      </c>
    </row>
    <row r="66" spans="1:6" x14ac:dyDescent="0.2">
      <c r="A66" s="16" t="s">
        <v>109</v>
      </c>
      <c r="B66" s="17" t="s">
        <v>114</v>
      </c>
      <c r="C66" s="18"/>
      <c r="D66" s="18">
        <v>35</v>
      </c>
      <c r="E66" s="18"/>
      <c r="F66" s="18">
        <v>42</v>
      </c>
    </row>
    <row r="67" spans="1:6" x14ac:dyDescent="0.2">
      <c r="A67" s="16" t="s">
        <v>109</v>
      </c>
      <c r="B67" s="17" t="s">
        <v>115</v>
      </c>
      <c r="C67" s="18"/>
      <c r="D67" s="18">
        <v>37</v>
      </c>
      <c r="E67" s="18"/>
      <c r="F67" s="18">
        <v>42</v>
      </c>
    </row>
    <row r="68" spans="1:6" x14ac:dyDescent="0.2">
      <c r="A68" s="16" t="s">
        <v>116</v>
      </c>
      <c r="B68" s="17" t="s">
        <v>117</v>
      </c>
      <c r="C68" s="18"/>
      <c r="D68" s="18">
        <v>45</v>
      </c>
      <c r="E68" s="18"/>
      <c r="F68" s="18">
        <v>50</v>
      </c>
    </row>
    <row r="69" spans="1:6" x14ac:dyDescent="0.2">
      <c r="A69" s="19" t="s">
        <v>118</v>
      </c>
      <c r="B69" s="20" t="s">
        <v>119</v>
      </c>
      <c r="C69" s="21"/>
      <c r="D69" s="21">
        <v>50</v>
      </c>
      <c r="E69" s="22"/>
      <c r="F69" s="23">
        <v>58</v>
      </c>
    </row>
    <row r="70" spans="1:6" x14ac:dyDescent="0.2">
      <c r="A70" s="19" t="s">
        <v>120</v>
      </c>
      <c r="B70" s="20" t="s">
        <v>121</v>
      </c>
      <c r="C70" s="21"/>
      <c r="D70" s="21">
        <v>92</v>
      </c>
      <c r="E70" s="22"/>
      <c r="F70" s="23">
        <v>100</v>
      </c>
    </row>
    <row r="71" spans="1:6" x14ac:dyDescent="0.2">
      <c r="A71" s="19" t="s">
        <v>122</v>
      </c>
      <c r="B71" s="20" t="s">
        <v>123</v>
      </c>
      <c r="C71" s="21"/>
      <c r="D71" s="21">
        <v>65</v>
      </c>
      <c r="E71" s="22"/>
      <c r="F71" s="23">
        <v>72</v>
      </c>
    </row>
    <row r="72" spans="1:6" x14ac:dyDescent="0.2">
      <c r="A72" s="19" t="s">
        <v>124</v>
      </c>
      <c r="B72" s="20" t="s">
        <v>125</v>
      </c>
      <c r="C72" s="21">
        <v>306</v>
      </c>
      <c r="D72" s="21"/>
      <c r="E72" s="22">
        <v>350</v>
      </c>
      <c r="F72" s="23"/>
    </row>
    <row r="73" spans="1:6" x14ac:dyDescent="0.2">
      <c r="A73" s="19" t="s">
        <v>126</v>
      </c>
      <c r="B73" s="20" t="s">
        <v>127</v>
      </c>
      <c r="C73" s="21"/>
      <c r="D73" s="21">
        <v>45</v>
      </c>
      <c r="E73" s="22"/>
      <c r="F73" s="23">
        <v>52</v>
      </c>
    </row>
    <row r="74" spans="1:6" x14ac:dyDescent="0.2">
      <c r="A74" s="19" t="s">
        <v>128</v>
      </c>
      <c r="B74" s="20" t="s">
        <v>129</v>
      </c>
      <c r="C74" s="21">
        <v>96</v>
      </c>
      <c r="D74" s="21">
        <f>C74/100</f>
        <v>0.96</v>
      </c>
      <c r="E74" s="22">
        <v>130</v>
      </c>
      <c r="F74" s="23">
        <f>E74/100</f>
        <v>1.3</v>
      </c>
    </row>
    <row r="75" spans="1:6" x14ac:dyDescent="0.2">
      <c r="A75" s="19" t="s">
        <v>130</v>
      </c>
      <c r="B75" s="20" t="s">
        <v>131</v>
      </c>
      <c r="C75" s="21"/>
      <c r="D75" s="21">
        <v>16</v>
      </c>
      <c r="E75" s="22"/>
      <c r="F75" s="23">
        <v>17.5</v>
      </c>
    </row>
    <row r="76" spans="1:6" x14ac:dyDescent="0.2">
      <c r="A76" s="19" t="s">
        <v>132</v>
      </c>
      <c r="B76" s="20" t="s">
        <v>133</v>
      </c>
      <c r="C76" s="21"/>
      <c r="D76" s="21">
        <v>49</v>
      </c>
      <c r="E76" s="22"/>
      <c r="F76" s="23">
        <v>54</v>
      </c>
    </row>
    <row r="77" spans="1:6" x14ac:dyDescent="0.2">
      <c r="A77" s="19" t="s">
        <v>134</v>
      </c>
      <c r="B77" s="20" t="s">
        <v>135</v>
      </c>
      <c r="C77" s="21"/>
      <c r="D77" s="21">
        <v>96</v>
      </c>
      <c r="E77" s="22"/>
      <c r="F77" s="23">
        <v>105</v>
      </c>
    </row>
    <row r="78" spans="1:6" x14ac:dyDescent="0.2">
      <c r="A78" s="19" t="s">
        <v>136</v>
      </c>
      <c r="B78" s="20" t="s">
        <v>137</v>
      </c>
      <c r="C78" s="21">
        <v>403</v>
      </c>
      <c r="D78" s="21"/>
      <c r="E78" s="22"/>
      <c r="F78" s="23"/>
    </row>
    <row r="79" spans="1:6" x14ac:dyDescent="0.2">
      <c r="A79" s="19" t="s">
        <v>138</v>
      </c>
      <c r="B79" s="20" t="s">
        <v>139</v>
      </c>
      <c r="C79" s="21"/>
      <c r="D79" s="21">
        <v>83</v>
      </c>
      <c r="E79" s="22"/>
      <c r="F79" s="23">
        <v>95</v>
      </c>
    </row>
    <row r="80" spans="1:6" x14ac:dyDescent="0.2">
      <c r="A80" s="19" t="s">
        <v>140</v>
      </c>
      <c r="B80" s="20" t="s">
        <v>141</v>
      </c>
      <c r="C80" s="21"/>
      <c r="D80" s="21">
        <v>67</v>
      </c>
      <c r="E80" s="22"/>
      <c r="F80" s="23">
        <v>75</v>
      </c>
    </row>
    <row r="81" spans="1:6" x14ac:dyDescent="0.2">
      <c r="A81" s="19" t="s">
        <v>142</v>
      </c>
      <c r="B81" s="20" t="s">
        <v>143</v>
      </c>
      <c r="C81" s="21">
        <v>291.06</v>
      </c>
      <c r="D81" s="21">
        <f>C81/10</f>
        <v>29.106000000000002</v>
      </c>
      <c r="E81" s="22">
        <v>370</v>
      </c>
      <c r="F81" s="23">
        <f>E81/10</f>
        <v>37</v>
      </c>
    </row>
    <row r="82" spans="1:6" x14ac:dyDescent="0.2">
      <c r="A82" s="19" t="s">
        <v>144</v>
      </c>
      <c r="B82" s="20" t="s">
        <v>145</v>
      </c>
      <c r="C82" s="21"/>
      <c r="D82" s="21">
        <v>9</v>
      </c>
      <c r="E82" s="22"/>
      <c r="F82" s="23">
        <v>12</v>
      </c>
    </row>
    <row r="83" spans="1:6" x14ac:dyDescent="0.2">
      <c r="A83" s="19" t="s">
        <v>146</v>
      </c>
      <c r="B83" s="20" t="s">
        <v>147</v>
      </c>
      <c r="C83" s="21"/>
      <c r="D83" s="21">
        <v>43</v>
      </c>
      <c r="E83" s="22"/>
      <c r="F83" s="23">
        <v>48</v>
      </c>
    </row>
    <row r="84" spans="1:6" x14ac:dyDescent="0.2">
      <c r="A84" s="19" t="s">
        <v>148</v>
      </c>
      <c r="B84" s="20" t="s">
        <v>149</v>
      </c>
      <c r="C84" s="21">
        <v>188</v>
      </c>
      <c r="D84" s="21"/>
      <c r="E84" s="22">
        <v>200</v>
      </c>
      <c r="F84" s="23">
        <f>E84/5</f>
        <v>40</v>
      </c>
    </row>
    <row r="85" spans="1:6" x14ac:dyDescent="0.2">
      <c r="A85" s="19" t="s">
        <v>150</v>
      </c>
      <c r="B85" s="20" t="s">
        <v>151</v>
      </c>
      <c r="C85" s="21"/>
      <c r="D85" s="21">
        <v>48.5</v>
      </c>
      <c r="E85" s="22"/>
      <c r="F85" s="23">
        <v>59</v>
      </c>
    </row>
    <row r="86" spans="1:6" x14ac:dyDescent="0.2">
      <c r="A86" s="19" t="s">
        <v>152</v>
      </c>
      <c r="B86" s="20" t="s">
        <v>153</v>
      </c>
      <c r="C86" s="21">
        <v>300</v>
      </c>
      <c r="D86" s="21">
        <f>C86/12</f>
        <v>25</v>
      </c>
      <c r="E86" s="22">
        <v>315</v>
      </c>
      <c r="F86" s="23">
        <f>E86/12</f>
        <v>26.25</v>
      </c>
    </row>
    <row r="87" spans="1:6" x14ac:dyDescent="0.2">
      <c r="A87" s="19" t="s">
        <v>154</v>
      </c>
      <c r="B87" s="20" t="s">
        <v>155</v>
      </c>
      <c r="C87" s="21">
        <v>312</v>
      </c>
      <c r="D87" s="21">
        <f>C87/12</f>
        <v>26</v>
      </c>
      <c r="E87" s="22">
        <v>320.04000000000002</v>
      </c>
      <c r="F87" s="23">
        <f>E87/12</f>
        <v>26.67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Maldonadl</dc:creator>
  <cp:lastModifiedBy>Jorge Maldonadl</cp:lastModifiedBy>
  <dcterms:created xsi:type="dcterms:W3CDTF">2025-11-27T17:30:02Z</dcterms:created>
  <dcterms:modified xsi:type="dcterms:W3CDTF">2025-11-27T17:31:45Z</dcterms:modified>
</cp:coreProperties>
</file>